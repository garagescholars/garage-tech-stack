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Tiers" sheetId="1" r:id="rId5"/>
    <sheet state="visible" name="A La Carte Pricing" sheetId="2" r:id="rId6"/>
    <sheet state="visible" name="Storage Upgrade Catalog" sheetId="3" r:id="rId7"/>
    <sheet state="visible" name="Equipment Costs" sheetId="4" r:id="rId8"/>
    <sheet state="visible" name="hormozi pricing logic" sheetId="5" r:id="rId9"/>
    <sheet state="visible" name="Margins" sheetId="6" r:id="rId10"/>
    <sheet state="visible" name="labor costs" sheetId="7" r:id="rId11"/>
  </sheets>
  <definedNames/>
  <calcPr/>
</workbook>
</file>

<file path=xl/sharedStrings.xml><?xml version="1.0" encoding="utf-8"?>
<sst xmlns="http://schemas.openxmlformats.org/spreadsheetml/2006/main" count="220" uniqueCount="167">
  <si>
    <t>Feature</t>
  </si>
  <si>
    <t>Tier 1: THE UNDERGRAD</t>
  </si>
  <si>
    <t>Tier 2: THE GRADUATE</t>
  </si>
  <si>
    <t>Tier 3: THE DOCTORATE</t>
  </si>
  <si>
    <t>A La Carte Add-Ons</t>
  </si>
  <si>
    <t>Price</t>
  </si>
  <si>
    <t>$1,197</t>
  </si>
  <si>
    <t>$2,197</t>
  </si>
  <si>
    <t>Target Client</t>
  </si>
  <si>
    <t>"We have the gear, we just lost the battle."</t>
  </si>
  <si>
    <t>"We want a garage we can park in tonight."</t>
  </si>
  <si>
    <t>"We want a showroom."</t>
  </si>
  <si>
    <t>Scope</t>
  </si>
  <si>
    <t>Surface Reset &amp; De-Clutter</t>
  </si>
  <si>
    <t>Full Organization Logic &amp; Install</t>
  </si>
  <si>
    <t>White-Glove Detail</t>
  </si>
  <si>
    <t>Labor (Crew)</t>
  </si>
  <si>
    <t>2 Scholars (4-5 Hours)</t>
  </si>
  <si>
    <t>2 Scholars (6-8 Hours)</t>
  </si>
  <si>
    <t>3 Scholars (1 Full Day)</t>
  </si>
  <si>
    <t>Haul-Away</t>
  </si>
  <si>
    <t>Up to 1 Truck Bed Included</t>
  </si>
  <si>
    <t>Up to 2 Truck Bed Haul-Away</t>
  </si>
  <si>
    <t>Extra Haul-Away</t>
  </si>
  <si>
    <t>$300</t>
  </si>
  <si>
    <t>Categorization</t>
  </si>
  <si>
    <t>Broad Sorting (Keep/Donate/Trash)</t>
  </si>
  <si>
    <t>Micro-Sorting (Sports/Tools/Holiday)</t>
  </si>
  <si>
    <t>Installations</t>
  </si>
  <si>
    <t>1 Zone Included (1 Shelf)</t>
  </si>
  <si>
    <t>$300 credit towards storage and shelving</t>
  </si>
  <si>
    <t>$500 credit towards storage and shelving</t>
  </si>
  <si>
    <t>Extra Shelf</t>
  </si>
  <si>
    <t>See Catalog</t>
  </si>
  <si>
    <t>Storage Bins</t>
  </si>
  <si>
    <t>Client Provided</t>
  </si>
  <si>
    <t>8 Standard Bins Included</t>
  </si>
  <si>
    <t>16 Premium Bins Included</t>
  </si>
  <si>
    <t>Overhead Storage</t>
  </si>
  <si>
    <t>Cleaning</t>
  </si>
  <si>
    <t>Sweep &amp; Blow</t>
  </si>
  <si>
    <t>Deep Degrease &amp; Wipe Down / Floor Powerwash</t>
  </si>
  <si>
    <t>Click-In Plate Flooring</t>
  </si>
  <si>
    <t>See Below</t>
  </si>
  <si>
    <t>Resale Service</t>
  </si>
  <si>
    <t>Concierge (50/50 Split) + Listing Mgmt</t>
  </si>
  <si>
    <t>Polyaspartic Floor Coating</t>
  </si>
  <si>
    <t>Guarantee</t>
  </si>
  <si>
    <t>"Standard Clean"</t>
  </si>
  <si>
    <t>30-Day "Clutter-Free" Guarantee</t>
  </si>
  <si>
    <t>Seasonal Swap (1 Return Visit Included)</t>
  </si>
  <si>
    <t>Heavy Duty Surcharge</t>
  </si>
  <si>
    <t>+$350 (If garage has &gt;20% floor cov. or vertical stacking)</t>
  </si>
  <si>
    <t>Waived (Included in Premium Price)</t>
  </si>
  <si>
    <t>CLICK-IN PLATE FLOORING — Greatmats Perforated Click Tile ($4.71/sq ft, 25-pack = 25.5 sq ft)</t>
  </si>
  <si>
    <t>Garage Size</t>
  </si>
  <si>
    <t>Sq Ft</t>
  </si>
  <si>
    <t>Cases Needed</t>
  </si>
  <si>
    <t>Material Cost</t>
  </si>
  <si>
    <t>Suggested Price</t>
  </si>
  <si>
    <t>Your Margin</t>
  </si>
  <si>
    <t>1-Car Garage (~200 sq ft)</t>
  </si>
  <si>
    <t>2-Car Garage (~400 sq ft)</t>
  </si>
  <si>
    <t>3-Car Garage (~600 sq ft)</t>
  </si>
  <si>
    <t>Flat Rate Option: ~$7.25/sq ft installed  |  Install Time: 1-2.5 hrs (2 people)  |  No adhesive needed</t>
  </si>
  <si>
    <t>POLYASPARTIC FLOOR COATING — Professional Concrete Coating (Same-Day Cure)</t>
  </si>
  <si>
    <t>Market Low</t>
  </si>
  <si>
    <t>Market Average</t>
  </si>
  <si>
    <t>Market High</t>
  </si>
  <si>
    <t>TBD</t>
  </si>
  <si>
    <t>Note: Polyaspartic requires diamond grinding &amp; specialized equipment. Pricing TBD based on subcontract vs in-house. Market rate: $5-$12/sq ft installed.</t>
  </si>
  <si>
    <t>EXTRA HAUL-AWAY</t>
  </si>
  <si>
    <t>Additional Truck Bed (beyond package inclusion)</t>
  </si>
  <si>
    <t>$300 per truck bed</t>
  </si>
  <si>
    <t>Denver market avg on Thumbtack: $150-$375/load. Your bundled rate = strong value prop.</t>
  </si>
  <si>
    <t>PREMIUM STORAGE UPGRADE — CREDIT &amp; PAY-THE-DIFFERENCE</t>
  </si>
  <si>
    <t>Graduate Credit: $300  |  Doctorate Credit: $500  |  Install labor included in package  |  No markup on materials</t>
  </si>
  <si>
    <t>Bold Series Set</t>
  </si>
  <si>
    <t>Model #</t>
  </si>
  <si>
    <t>Retail Cost</t>
  </si>
  <si>
    <t>Graduate Pays (-$300)</t>
  </si>
  <si>
    <t>Doctorate Pays (-$500)</t>
  </si>
  <si>
    <t>Link</t>
  </si>
  <si>
    <t>3-Pc Wall Cabinets (96"W x 20"H x 12"D)</t>
  </si>
  <si>
    <t>COVERED</t>
  </si>
  <si>
    <t>View Product ➜</t>
  </si>
  <si>
    <t>6-Pc Wall Cabinets (192"W x 19.58"H x 12"D)</t>
  </si>
  <si>
    <t>2-Piece System (104"W x 77"H x 18"D)</t>
  </si>
  <si>
    <t>3-Piece System (108"W x 76.75"H x 18"D)</t>
  </si>
  <si>
    <t>4-Pc Bamboo Top (92"W x 76.75"H x 18"D)</t>
  </si>
  <si>
    <t>4-Pc Stainless Top (92"W x 76.75"H x 18"D)</t>
  </si>
  <si>
    <t>5-Pc Bamboo Top (120"W x 76.75"H x 18"D)</t>
  </si>
  <si>
    <t>5-Pc Stainless Top (120"W x 76.75"H x 18"D)</t>
  </si>
  <si>
    <t>6-Piece System (144"W x 76.75"H x 18"D)</t>
  </si>
  <si>
    <t>7-Piece System (108"W x 76.75"H x 18"D)</t>
  </si>
  <si>
    <t>7-Piece Extended (174"W x 77"H x 18"D)</t>
  </si>
  <si>
    <t>8-Piece System (132"W x 77"H x 18"D)</t>
  </si>
  <si>
    <t>8-Piece System (132"W x 76.75"H x 18"D)</t>
  </si>
  <si>
    <t>9-Piece System (132"W x 77"H x 18"D)</t>
  </si>
  <si>
    <t>9-Piece Platinum (132"W x 76.75"H x 18"D)</t>
  </si>
  <si>
    <t>INCLUDED EQUIPMENT — YOUR COST BASIS</t>
  </si>
  <si>
    <t>Item</t>
  </si>
  <si>
    <t>Your Cost</t>
  </si>
  <si>
    <t>Source</t>
  </si>
  <si>
    <t>Greenmade 27-Gallon Storage Bin 8-Pack (Standard Bins)</t>
  </si>
  <si>
    <t>Costco</t>
  </si>
  <si>
    <t>5-Tier Metal Shelving (72"H x 48"W x 24"D)</t>
  </si>
  <si>
    <t>Home Depot</t>
  </si>
  <si>
    <t>4-Tier Metal Shelving (72"H x 60"W x 18"D)</t>
  </si>
  <si>
    <t>Overhead Rack — 32"D (97.5"W x 43.75"H x 32"D)</t>
  </si>
  <si>
    <t>Overhead Rack — 48"D (97.5"W x 43.75"H x 48"D)</t>
  </si>
  <si>
    <t>Six Bin Rack Ceiling Mounted (3"W x 2"H x 26"D)</t>
  </si>
  <si>
    <t>Greatmats Perforated Click Floor Tile (25-Pack, 25.5 sq ft)</t>
  </si>
  <si>
    <t>Tier</t>
  </si>
  <si>
    <t>Positioning Role</t>
  </si>
  <si>
    <t>Psychology Lever</t>
  </si>
  <si>
    <t>Target Outcome</t>
  </si>
  <si>
    <t>Who It's For</t>
  </si>
  <si>
    <t>Key Constraint</t>
  </si>
  <si>
    <t>Margin Target</t>
  </si>
  <si>
    <t>Undergrad</t>
  </si>
  <si>
    <t>Decoy</t>
  </si>
  <si>
    <t>Makes Graduate feel obvious</t>
  </si>
  <si>
    <t>Clear floor + basic order</t>
  </si>
  <si>
    <t>Small garages / budget-first</t>
  </si>
  <si>
    <t>5-hour cap, minimal build</t>
  </si>
  <si>
    <t>40% (tight)</t>
  </si>
  <si>
    <t>Graduate</t>
  </si>
  <si>
    <t>Core Offer (Most Popular)</t>
  </si>
  <si>
    <t>Best value, least regret</t>
  </si>
  <si>
    <t>Zoned, scalable, long-term system</t>
  </si>
  <si>
    <t>Most homeowners</t>
  </si>
  <si>
    <t>7-hour cap</t>
  </si>
  <si>
    <t>44%+</t>
  </si>
  <si>
    <t>Doctorate</t>
  </si>
  <si>
    <t>Anchor</t>
  </si>
  <si>
    <t>Premium reference point</t>
  </si>
  <si>
    <t>White-glove, future-proof garage</t>
  </si>
  <si>
    <t>High-end, no-compromise clients</t>
  </si>
  <si>
    <t>8-hour full-day cap</t>
  </si>
  <si>
    <t>46%+</t>
  </si>
  <si>
    <t>Client Price</t>
  </si>
  <si>
    <t>Crew Size</t>
  </si>
  <si>
    <t>Time Cap (hrs)</t>
  </si>
  <si>
    <t>Labor Cost</t>
  </si>
  <si>
    <t>Materials Cost</t>
  </si>
  <si>
    <t>Haul-Away Baked</t>
  </si>
  <si>
    <t>Total Cost</t>
  </si>
  <si>
    <t>Profit</t>
  </si>
  <si>
    <t>Margin %</t>
  </si>
  <si>
    <t>2 Scholars</t>
  </si>
  <si>
    <t>3 Scholars</t>
  </si>
  <si>
    <t>Service Tier</t>
  </si>
  <si>
    <t>Retail Price</t>
  </si>
  <si>
    <t>Role</t>
  </si>
  <si>
    <t>Total Pay Target</t>
  </si>
  <si>
    <t>Base Pay (Guaranteed)</t>
  </si>
  <si>
    <t>Performance Stipend (At Risk)</t>
  </si>
  <si>
    <t>The Undergrad</t>
  </si>
  <si>
    <t>Lead Scholar</t>
  </si>
  <si>
    <t>$86/hour</t>
  </si>
  <si>
    <t>(Total Labor: $350)</t>
  </si>
  <si>
    <t>Wingman</t>
  </si>
  <si>
    <t>The Graduate</t>
  </si>
  <si>
    <t>(Total Labor: $600)</t>
  </si>
  <si>
    <t>The Doctorate</t>
  </si>
  <si>
    <t>(Total Labor: $875)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</si>
</sst>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\$#,##0"/>
    <numFmt numFmtId="166" formatCode="\$#,##0.00"/>
    <numFmt numFmtId="167" formatCode="&quot;$&quot;#,##0.00"/>
    <numFmt numFmtId="168" formatCode="m-d"/>
  </numFmts>
  <fonts count="1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2.0"/>
      <color rgb="FFFFFFFF"/>
      <name val="Arial"/>
    </font>
    <font/>
    <font>
      <b/>
      <sz val="14.0"/>
      <color rgb="FFFFFFFF"/>
      <name val="Arial"/>
    </font>
    <font>
      <b/>
      <sz val="10.0"/>
      <color rgb="FF006600"/>
      <name val="Arial"/>
    </font>
    <font>
      <u/>
      <sz val="10.0"/>
      <color rgb="FF0563C1"/>
      <name val="Arial"/>
    </font>
    <font>
      <color theme="1"/>
      <name val="Calibri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2C2C2C"/>
        <bgColor rgb="FF2C2C2C"/>
      </patternFill>
    </fill>
    <fill>
      <patternFill patternType="solid">
        <fgColor rgb="FFE8F0FE"/>
        <bgColor rgb="FFE8F0FE"/>
      </patternFill>
    </fill>
    <fill>
      <patternFill patternType="solid">
        <fgColor rgb="FFD4E9D4"/>
        <bgColor rgb="FFD4E9D4"/>
      </patternFill>
    </fill>
    <fill>
      <patternFill patternType="solid">
        <fgColor rgb="FFFFF2CC"/>
        <bgColor rgb="FFFFF2CC"/>
      </patternFill>
    </fill>
    <fill>
      <patternFill patternType="solid">
        <fgColor rgb="FFF4E3D7"/>
        <bgColor rgb="FFF4E3D7"/>
      </patternFill>
    </fill>
    <fill>
      <patternFill patternType="solid">
        <fgColor rgb="FF444444"/>
        <bgColor rgb="FF444444"/>
      </patternFill>
    </fill>
    <fill>
      <patternFill patternType="solid">
        <fgColor rgb="FFD5F5D5"/>
        <bgColor rgb="FFD5F5D5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3" numFmtId="164" xfId="0" applyAlignment="1" applyBorder="1" applyFill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6" fontId="4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7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0" fillId="0" fontId="5" numFmtId="0" xfId="0" applyFont="1"/>
    <xf borderId="1" fillId="0" fontId="4" numFmtId="0" xfId="0" applyBorder="1" applyFont="1"/>
    <xf borderId="5" fillId="0" fontId="2" numFmtId="0" xfId="0" applyAlignment="1" applyBorder="1" applyFont="1">
      <alignment horizontal="center"/>
    </xf>
    <xf borderId="6" fillId="0" fontId="7" numFmtId="0" xfId="0" applyBorder="1" applyFont="1"/>
    <xf borderId="2" fillId="2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center" wrapText="1"/>
    </xf>
    <xf borderId="1" fillId="8" fontId="4" numFmtId="165" xfId="0" applyAlignment="1" applyBorder="1" applyFill="1" applyFont="1" applyNumberForma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0" fontId="12" numFmtId="167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8" xfId="0" applyAlignment="1" applyFont="1" applyNumberFormat="1">
      <alignment readingOrder="0"/>
    </xf>
    <xf borderId="0" fillId="0" fontId="11" numFmtId="164" xfId="0" applyFont="1" applyNumberFormat="1"/>
    <xf borderId="0" fillId="0" fontId="14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305718348" TargetMode="External"/><Relationship Id="rId10" Type="http://schemas.openxmlformats.org/officeDocument/2006/relationships/hyperlink" Target="https://www.homedepot.com/p/304275984" TargetMode="External"/><Relationship Id="rId13" Type="http://schemas.openxmlformats.org/officeDocument/2006/relationships/hyperlink" Target="https://www.homedepot.com/p/304275888" TargetMode="External"/><Relationship Id="rId12" Type="http://schemas.openxmlformats.org/officeDocument/2006/relationships/hyperlink" Target="https://www.homedepot.com/p/304275892" TargetMode="External"/><Relationship Id="rId1" Type="http://schemas.openxmlformats.org/officeDocument/2006/relationships/hyperlink" Target="https://www.homedepot.com/p/309436139" TargetMode="External"/><Relationship Id="rId2" Type="http://schemas.openxmlformats.org/officeDocument/2006/relationships/hyperlink" Target="https://www.homedepot.com/p/309439261" TargetMode="External"/><Relationship Id="rId3" Type="http://schemas.openxmlformats.org/officeDocument/2006/relationships/hyperlink" Target="https://www.homedepot.com/p/305712662" TargetMode="External"/><Relationship Id="rId4" Type="http://schemas.openxmlformats.org/officeDocument/2006/relationships/hyperlink" Target="https://www.homedepot.com/p/309439274" TargetMode="External"/><Relationship Id="rId9" Type="http://schemas.openxmlformats.org/officeDocument/2006/relationships/hyperlink" Target="https://www.homedepot.com/p/305718295" TargetMode="External"/><Relationship Id="rId15" Type="http://schemas.openxmlformats.org/officeDocument/2006/relationships/hyperlink" Target="https://www.homedepot.com/p/313227820" TargetMode="External"/><Relationship Id="rId14" Type="http://schemas.openxmlformats.org/officeDocument/2006/relationships/hyperlink" Target="https://www.homedepot.com/p/304275933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homedepot.com/p/335324535" TargetMode="External"/><Relationship Id="rId6" Type="http://schemas.openxmlformats.org/officeDocument/2006/relationships/hyperlink" Target="https://www.homedepot.com/p/335324537" TargetMode="External"/><Relationship Id="rId7" Type="http://schemas.openxmlformats.org/officeDocument/2006/relationships/hyperlink" Target="https://www.homedepot.com/p/335324554" TargetMode="External"/><Relationship Id="rId8" Type="http://schemas.openxmlformats.org/officeDocument/2006/relationships/hyperlink" Target="https://www.homedepot.com/p/33532456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stco.com/p/-/greenmade-27-gallon-storage-bin-8-pack/4000377855" TargetMode="External"/><Relationship Id="rId2" Type="http://schemas.openxmlformats.org/officeDocument/2006/relationships/hyperlink" Target="https://www.homedepot.com/p/VEIKOUS-5-Tier-Metal-Garage-Storage-Shelving-Unit-Standard-Bookcase-in-Black-72-in-H-x-48-in-W-x-24-in-D-HP1106-03-1/333229150" TargetMode="External"/><Relationship Id="rId3" Type="http://schemas.openxmlformats.org/officeDocument/2006/relationships/hyperlink" Target="https://www.homedepot.com/pep/VEIKOUS-72-in-Black-Metal-4-Tier-Garage-Storage-Shelving-Bookcases-Unit-with-Adjustable-Shelves-60-in-W-x-18-in-D-HP1106-09-4/319760619" TargetMode="External"/><Relationship Id="rId4" Type="http://schemas.openxmlformats.org/officeDocument/2006/relationships/hyperlink" Target="https://www.homedepot.com/p/Husky-97-5-in-W-x-43-75-in-H-x-32-in-D-Adjustable-Height-Metal-Heavy-Duty-Overhead-Garage-Storage-Rack-in-Black-ACR3296B-P/305858888" TargetMode="External"/><Relationship Id="rId5" Type="http://schemas.openxmlformats.org/officeDocument/2006/relationships/hyperlink" Target="https://www.homedepot.com/p/Husky-97-5-in-W-x-43-75-in-H-x-48-in-D-Adjustable-Height-Metal-Heavy-Duty-Overhead-Garage-Storage-Rack-in-Black-ACR4896B/303493157" TargetMode="External"/><Relationship Id="rId6" Type="http://schemas.openxmlformats.org/officeDocument/2006/relationships/hyperlink" Target="https://www.homedepot.com/p/KOOVA-3-in-W-x-2-in-H-x-26-in-D-Six-Bin-Rack-Adjustable-Height-Garage-Ceiling-Mounted-Storage-Unit-Black-KV-OHB-6/325821503" TargetMode="External"/><Relationship Id="rId7" Type="http://schemas.openxmlformats.org/officeDocument/2006/relationships/hyperlink" Target="https://www.homedepot.com/p/Greatmats-Perforated-Click-12-1-8-in-x-12-1-8-in-Gray-Plastic-Garage-Floor-Tile-25-Pack-PCGT1X1GRY25/308539495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4" width="48.0"/>
    <col customWidth="1" min="5" max="5" width="3.0"/>
    <col customWidth="1" min="6" max="6" width="35.0"/>
    <col customWidth="1" min="7" max="7" width="14.0"/>
    <col customWidth="1" min="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ht="27.75" customHeight="1">
      <c r="A2" s="2" t="s">
        <v>5</v>
      </c>
      <c r="B2" s="3" t="s">
        <v>6</v>
      </c>
      <c r="C2" s="4" t="s">
        <v>7</v>
      </c>
      <c r="D2" s="5">
        <v>3797.0</v>
      </c>
      <c r="E2" s="6"/>
      <c r="F2" s="7"/>
      <c r="G2" s="7"/>
    </row>
    <row r="3" ht="27.75" customHeight="1">
      <c r="A3" s="2" t="s">
        <v>8</v>
      </c>
      <c r="B3" s="8" t="s">
        <v>9</v>
      </c>
      <c r="C3" s="9" t="s">
        <v>10</v>
      </c>
      <c r="D3" s="10" t="s">
        <v>11</v>
      </c>
      <c r="E3" s="6"/>
      <c r="F3" s="7"/>
      <c r="G3" s="7"/>
    </row>
    <row r="4" ht="27.75" customHeight="1">
      <c r="A4" s="2" t="s">
        <v>12</v>
      </c>
      <c r="B4" s="11" t="s">
        <v>13</v>
      </c>
      <c r="C4" s="12" t="s">
        <v>14</v>
      </c>
      <c r="D4" s="13" t="s">
        <v>15</v>
      </c>
      <c r="E4" s="6"/>
      <c r="F4" s="7"/>
      <c r="G4" s="7"/>
    </row>
    <row r="5" ht="27.75" customHeight="1">
      <c r="A5" s="2" t="s">
        <v>16</v>
      </c>
      <c r="B5" s="11" t="s">
        <v>17</v>
      </c>
      <c r="C5" s="12" t="s">
        <v>18</v>
      </c>
      <c r="D5" s="13" t="s">
        <v>19</v>
      </c>
      <c r="E5" s="6"/>
      <c r="F5" s="7"/>
      <c r="G5" s="7"/>
    </row>
    <row r="6" ht="27.75" customHeight="1">
      <c r="A6" s="2" t="s">
        <v>20</v>
      </c>
      <c r="B6" s="11" t="s">
        <v>21</v>
      </c>
      <c r="C6" s="12" t="s">
        <v>21</v>
      </c>
      <c r="D6" s="13" t="s">
        <v>22</v>
      </c>
      <c r="E6" s="6"/>
      <c r="F6" s="7" t="s">
        <v>23</v>
      </c>
      <c r="G6" s="14" t="s">
        <v>24</v>
      </c>
    </row>
    <row r="7" ht="27.75" customHeight="1">
      <c r="A7" s="2" t="s">
        <v>25</v>
      </c>
      <c r="B7" s="11" t="s">
        <v>26</v>
      </c>
      <c r="C7" s="12" t="s">
        <v>27</v>
      </c>
      <c r="D7" s="13"/>
      <c r="E7" s="6"/>
      <c r="F7" s="7"/>
      <c r="G7" s="7"/>
    </row>
    <row r="8" ht="27.75" customHeight="1">
      <c r="A8" s="2" t="s">
        <v>28</v>
      </c>
      <c r="B8" s="11" t="s">
        <v>29</v>
      </c>
      <c r="C8" s="15" t="s">
        <v>30</v>
      </c>
      <c r="D8" s="16" t="s">
        <v>31</v>
      </c>
      <c r="E8" s="6"/>
      <c r="F8" s="7" t="s">
        <v>32</v>
      </c>
      <c r="G8" s="14" t="s">
        <v>33</v>
      </c>
    </row>
    <row r="9" ht="27.75" customHeight="1">
      <c r="A9" s="2" t="s">
        <v>34</v>
      </c>
      <c r="B9" s="11" t="s">
        <v>35</v>
      </c>
      <c r="C9" s="12" t="s">
        <v>36</v>
      </c>
      <c r="D9" s="13" t="s">
        <v>37</v>
      </c>
      <c r="E9" s="6"/>
      <c r="F9" s="7" t="s">
        <v>38</v>
      </c>
      <c r="G9" s="14" t="s">
        <v>33</v>
      </c>
    </row>
    <row r="10" ht="27.75" customHeight="1">
      <c r="A10" s="2" t="s">
        <v>39</v>
      </c>
      <c r="B10" s="11" t="s">
        <v>40</v>
      </c>
      <c r="C10" s="12" t="s">
        <v>41</v>
      </c>
      <c r="D10" s="13" t="s">
        <v>41</v>
      </c>
      <c r="E10" s="6"/>
      <c r="F10" s="7" t="s">
        <v>42</v>
      </c>
      <c r="G10" s="14" t="s">
        <v>43</v>
      </c>
    </row>
    <row r="11" ht="27.75" customHeight="1">
      <c r="A11" s="2" t="s">
        <v>44</v>
      </c>
      <c r="B11" s="11" t="s">
        <v>45</v>
      </c>
      <c r="C11" s="12" t="s">
        <v>45</v>
      </c>
      <c r="D11" s="13" t="s">
        <v>45</v>
      </c>
      <c r="E11" s="6"/>
      <c r="F11" s="7" t="s">
        <v>46</v>
      </c>
      <c r="G11" s="14" t="s">
        <v>43</v>
      </c>
    </row>
    <row r="12" ht="27.75" customHeight="1">
      <c r="A12" s="2" t="s">
        <v>47</v>
      </c>
      <c r="B12" s="11" t="s">
        <v>48</v>
      </c>
      <c r="C12" s="12" t="s">
        <v>49</v>
      </c>
      <c r="D12" s="13" t="s">
        <v>50</v>
      </c>
      <c r="E12" s="6"/>
      <c r="F12" s="7"/>
      <c r="G12" s="7"/>
    </row>
    <row r="13" ht="27.75" customHeight="1">
      <c r="A13" s="2" t="s">
        <v>51</v>
      </c>
      <c r="B13" s="11" t="s">
        <v>52</v>
      </c>
      <c r="C13" s="12" t="s">
        <v>52</v>
      </c>
      <c r="D13" s="16" t="s">
        <v>53</v>
      </c>
      <c r="E13" s="6"/>
      <c r="F13" s="7"/>
      <c r="G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6" width="18.0"/>
    <col customWidth="1" min="7" max="26" width="8.71"/>
  </cols>
  <sheetData>
    <row r="1" ht="27.75" customHeight="1">
      <c r="A1" s="17" t="s">
        <v>54</v>
      </c>
      <c r="B1" s="18"/>
      <c r="C1" s="18"/>
      <c r="D1" s="18"/>
      <c r="E1" s="18"/>
      <c r="F1" s="19"/>
    </row>
    <row r="2" ht="27.75" customHeight="1">
      <c r="A2" s="20" t="s">
        <v>55</v>
      </c>
      <c r="B2" s="20" t="s">
        <v>56</v>
      </c>
      <c r="C2" s="20" t="s">
        <v>57</v>
      </c>
      <c r="D2" s="20" t="s">
        <v>58</v>
      </c>
      <c r="E2" s="20" t="s">
        <v>59</v>
      </c>
      <c r="F2" s="20" t="s">
        <v>60</v>
      </c>
    </row>
    <row r="3" ht="27.75" customHeight="1">
      <c r="A3" s="21" t="s">
        <v>61</v>
      </c>
      <c r="B3" s="22">
        <v>200.0</v>
      </c>
      <c r="C3" s="22">
        <v>8.0</v>
      </c>
      <c r="D3" s="23">
        <v>960.0</v>
      </c>
      <c r="E3" s="23">
        <v>1497.0</v>
      </c>
      <c r="F3" s="23">
        <v>387.0</v>
      </c>
    </row>
    <row r="4" ht="27.75" customHeight="1">
      <c r="A4" s="21" t="s">
        <v>62</v>
      </c>
      <c r="B4" s="22">
        <v>400.0</v>
      </c>
      <c r="C4" s="22">
        <v>16.0</v>
      </c>
      <c r="D4" s="23">
        <v>1920.0</v>
      </c>
      <c r="E4" s="23">
        <v>2897.0</v>
      </c>
      <c r="F4" s="23">
        <v>727.0</v>
      </c>
    </row>
    <row r="5" ht="27.75" customHeight="1">
      <c r="A5" s="21" t="s">
        <v>63</v>
      </c>
      <c r="B5" s="22">
        <v>600.0</v>
      </c>
      <c r="C5" s="22">
        <v>24.0</v>
      </c>
      <c r="D5" s="23">
        <v>2880.0</v>
      </c>
      <c r="E5" s="23">
        <v>4297.0</v>
      </c>
      <c r="F5" s="23">
        <v>1067.0</v>
      </c>
    </row>
    <row r="6" ht="27.75" customHeight="1">
      <c r="A6" s="24" t="s">
        <v>64</v>
      </c>
    </row>
    <row r="7" ht="27.75" customHeight="1"/>
    <row r="8" ht="27.75" customHeight="1">
      <c r="A8" s="17" t="s">
        <v>65</v>
      </c>
      <c r="B8" s="18"/>
      <c r="C8" s="18"/>
      <c r="D8" s="18"/>
      <c r="E8" s="18"/>
      <c r="F8" s="19"/>
    </row>
    <row r="9" ht="27.75" customHeight="1">
      <c r="A9" s="20" t="s">
        <v>55</v>
      </c>
      <c r="B9" s="20" t="s">
        <v>56</v>
      </c>
      <c r="C9" s="20" t="s">
        <v>66</v>
      </c>
      <c r="D9" s="20" t="s">
        <v>67</v>
      </c>
      <c r="E9" s="20" t="s">
        <v>68</v>
      </c>
      <c r="F9" s="20" t="s">
        <v>59</v>
      </c>
    </row>
    <row r="10" ht="27.75" customHeight="1">
      <c r="A10" s="21" t="s">
        <v>61</v>
      </c>
      <c r="B10" s="22">
        <v>200.0</v>
      </c>
      <c r="C10" s="23">
        <v>1200.0</v>
      </c>
      <c r="D10" s="23">
        <v>1800.0</v>
      </c>
      <c r="E10" s="23">
        <v>2400.0</v>
      </c>
      <c r="F10" s="22" t="s">
        <v>69</v>
      </c>
    </row>
    <row r="11" ht="27.75" customHeight="1">
      <c r="A11" s="21" t="s">
        <v>62</v>
      </c>
      <c r="B11" s="22">
        <v>400.0</v>
      </c>
      <c r="C11" s="23">
        <v>2000.0</v>
      </c>
      <c r="D11" s="23">
        <v>2800.0</v>
      </c>
      <c r="E11" s="23">
        <v>3500.0</v>
      </c>
      <c r="F11" s="22" t="s">
        <v>69</v>
      </c>
    </row>
    <row r="12" ht="27.75" customHeight="1">
      <c r="A12" s="21" t="s">
        <v>63</v>
      </c>
      <c r="B12" s="22">
        <v>600.0</v>
      </c>
      <c r="C12" s="23">
        <v>3500.0</v>
      </c>
      <c r="D12" s="23">
        <v>4500.0</v>
      </c>
      <c r="E12" s="23">
        <v>6000.0</v>
      </c>
      <c r="F12" s="22" t="s">
        <v>69</v>
      </c>
    </row>
    <row r="13" ht="27.75" customHeight="1">
      <c r="A13" s="24" t="s">
        <v>70</v>
      </c>
    </row>
    <row r="14" ht="27.75" customHeight="1"/>
    <row r="15" ht="27.75" customHeight="1">
      <c r="A15" s="17" t="s">
        <v>71</v>
      </c>
      <c r="B15" s="18"/>
      <c r="C15" s="18"/>
      <c r="D15" s="18"/>
      <c r="E15" s="18"/>
      <c r="F15" s="19"/>
    </row>
    <row r="16" ht="27.75" customHeight="1">
      <c r="A16" s="25" t="s">
        <v>72</v>
      </c>
      <c r="B16" s="26" t="s">
        <v>73</v>
      </c>
      <c r="C16" s="27"/>
    </row>
    <row r="17" ht="27.75" customHeight="1">
      <c r="A17" s="24" t="s">
        <v>74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F1"/>
    <mergeCell ref="A6:F6"/>
    <mergeCell ref="A8:F8"/>
    <mergeCell ref="A13:F13"/>
    <mergeCell ref="A15:F15"/>
    <mergeCell ref="B16:C16"/>
    <mergeCell ref="A17:F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3" width="14.0"/>
    <col customWidth="1" min="4" max="5" width="20.0"/>
    <col customWidth="1" min="6" max="6" width="22.0"/>
    <col customWidth="1" min="7" max="26" width="8.71"/>
  </cols>
  <sheetData>
    <row r="1" ht="27.75" customHeight="1">
      <c r="A1" s="28" t="s">
        <v>75</v>
      </c>
      <c r="B1" s="18"/>
      <c r="C1" s="18"/>
      <c r="D1" s="18"/>
      <c r="E1" s="18"/>
      <c r="F1" s="19"/>
    </row>
    <row r="2" ht="27.75" customHeight="1">
      <c r="A2" s="29" t="s">
        <v>76</v>
      </c>
    </row>
    <row r="3" ht="27.75" customHeight="1"/>
    <row r="4" ht="27.75" customHeight="1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</row>
    <row r="5" ht="27.75" customHeight="1">
      <c r="A5" s="30" t="s">
        <v>83</v>
      </c>
      <c r="B5" s="22">
        <v>50653.0</v>
      </c>
      <c r="C5" s="23">
        <v>380.0</v>
      </c>
      <c r="D5" s="31">
        <v>80.0</v>
      </c>
      <c r="E5" s="32" t="s">
        <v>84</v>
      </c>
      <c r="F5" s="33" t="s">
        <v>85</v>
      </c>
    </row>
    <row r="6" ht="27.75" customHeight="1">
      <c r="A6" s="30" t="s">
        <v>86</v>
      </c>
      <c r="B6" s="22">
        <v>50659.0</v>
      </c>
      <c r="C6" s="23">
        <v>600.0</v>
      </c>
      <c r="D6" s="23">
        <v>300.0</v>
      </c>
      <c r="E6" s="31">
        <v>100.0</v>
      </c>
      <c r="F6" s="33" t="s">
        <v>85</v>
      </c>
    </row>
    <row r="7" ht="27.75" customHeight="1">
      <c r="A7" s="30" t="s">
        <v>87</v>
      </c>
      <c r="B7" s="22">
        <v>50500.0</v>
      </c>
      <c r="C7" s="23">
        <v>1400.0</v>
      </c>
      <c r="D7" s="23">
        <v>1100.0</v>
      </c>
      <c r="E7" s="23">
        <v>900.0</v>
      </c>
      <c r="F7" s="33" t="s">
        <v>85</v>
      </c>
    </row>
    <row r="8" ht="27.75" customHeight="1">
      <c r="A8" s="30" t="s">
        <v>88</v>
      </c>
      <c r="B8" s="22">
        <v>50670.0</v>
      </c>
      <c r="C8" s="23">
        <v>1280.0</v>
      </c>
      <c r="D8" s="23">
        <v>980.0</v>
      </c>
      <c r="E8" s="23">
        <v>780.0</v>
      </c>
      <c r="F8" s="33" t="s">
        <v>85</v>
      </c>
    </row>
    <row r="9" ht="27.75" customHeight="1">
      <c r="A9" s="30" t="s">
        <v>89</v>
      </c>
      <c r="B9" s="22">
        <v>73501.0</v>
      </c>
      <c r="C9" s="23">
        <v>1340.0</v>
      </c>
      <c r="D9" s="23">
        <v>1040.0</v>
      </c>
      <c r="E9" s="23">
        <v>840.0</v>
      </c>
      <c r="F9" s="33" t="s">
        <v>85</v>
      </c>
    </row>
    <row r="10" ht="27.75" customHeight="1">
      <c r="A10" s="30" t="s">
        <v>90</v>
      </c>
      <c r="B10" s="22">
        <v>73505.0</v>
      </c>
      <c r="C10" s="23">
        <v>1430.0</v>
      </c>
      <c r="D10" s="23">
        <v>1130.0</v>
      </c>
      <c r="E10" s="23">
        <v>930.0</v>
      </c>
      <c r="F10" s="33" t="s">
        <v>85</v>
      </c>
    </row>
    <row r="11" ht="27.75" customHeight="1">
      <c r="A11" s="30" t="s">
        <v>91</v>
      </c>
      <c r="B11" s="22">
        <v>73509.0</v>
      </c>
      <c r="C11" s="23">
        <v>1987.0</v>
      </c>
      <c r="D11" s="23">
        <v>1687.0</v>
      </c>
      <c r="E11" s="23">
        <v>1487.0</v>
      </c>
      <c r="F11" s="33" t="s">
        <v>85</v>
      </c>
    </row>
    <row r="12" ht="27.75" customHeight="1">
      <c r="A12" s="30" t="s">
        <v>92</v>
      </c>
      <c r="B12" s="22">
        <v>73513.0</v>
      </c>
      <c r="C12" s="23">
        <v>2140.0</v>
      </c>
      <c r="D12" s="23">
        <v>1840.0</v>
      </c>
      <c r="E12" s="23">
        <v>1640.0</v>
      </c>
      <c r="F12" s="33" t="s">
        <v>85</v>
      </c>
    </row>
    <row r="13" ht="27.75" customHeight="1">
      <c r="A13" s="30" t="s">
        <v>93</v>
      </c>
      <c r="B13" s="22">
        <v>50502.0</v>
      </c>
      <c r="C13" s="23">
        <v>2150.0</v>
      </c>
      <c r="D13" s="23">
        <v>1850.0</v>
      </c>
      <c r="E13" s="23">
        <v>1650.0</v>
      </c>
      <c r="F13" s="33" t="s">
        <v>85</v>
      </c>
    </row>
    <row r="14" ht="27.75" customHeight="1">
      <c r="A14" s="30" t="s">
        <v>94</v>
      </c>
      <c r="B14" s="22">
        <v>50421.0</v>
      </c>
      <c r="C14" s="23">
        <v>1680.0</v>
      </c>
      <c r="D14" s="23">
        <v>1380.0</v>
      </c>
      <c r="E14" s="23">
        <v>1180.0</v>
      </c>
      <c r="F14" s="33" t="s">
        <v>85</v>
      </c>
    </row>
    <row r="15" ht="27.75" customHeight="1">
      <c r="A15" s="30" t="s">
        <v>95</v>
      </c>
      <c r="B15" s="22">
        <v>50506.0</v>
      </c>
      <c r="C15" s="23">
        <v>2530.0</v>
      </c>
      <c r="D15" s="23">
        <v>2230.0</v>
      </c>
      <c r="E15" s="23">
        <v>2030.0</v>
      </c>
      <c r="F15" s="33" t="s">
        <v>85</v>
      </c>
    </row>
    <row r="16" ht="27.75" customHeight="1">
      <c r="A16" s="30" t="s">
        <v>96</v>
      </c>
      <c r="B16" s="22">
        <v>50405.0</v>
      </c>
      <c r="C16" s="23">
        <v>1850.0</v>
      </c>
      <c r="D16" s="23">
        <v>1550.0</v>
      </c>
      <c r="E16" s="23">
        <v>1350.0</v>
      </c>
      <c r="F16" s="33" t="s">
        <v>85</v>
      </c>
    </row>
    <row r="17" ht="27.75" customHeight="1">
      <c r="A17" s="30" t="s">
        <v>97</v>
      </c>
      <c r="B17" s="22">
        <v>50462.0</v>
      </c>
      <c r="C17" s="23">
        <v>2200.0</v>
      </c>
      <c r="D17" s="23">
        <v>1900.0</v>
      </c>
      <c r="E17" s="23">
        <v>1700.0</v>
      </c>
      <c r="F17" s="33" t="s">
        <v>85</v>
      </c>
    </row>
    <row r="18" ht="27.75" customHeight="1">
      <c r="A18" s="30" t="s">
        <v>98</v>
      </c>
      <c r="B18" s="22">
        <v>50408.0</v>
      </c>
      <c r="C18" s="23">
        <v>1950.0</v>
      </c>
      <c r="D18" s="23">
        <v>1650.0</v>
      </c>
      <c r="E18" s="23">
        <v>1450.0</v>
      </c>
      <c r="F18" s="33" t="s">
        <v>85</v>
      </c>
    </row>
    <row r="19" ht="27.75" customHeight="1">
      <c r="A19" s="30" t="s">
        <v>99</v>
      </c>
      <c r="B19" s="22">
        <v>54992.0</v>
      </c>
      <c r="C19" s="23">
        <v>1950.0</v>
      </c>
      <c r="D19" s="23">
        <v>1650.0</v>
      </c>
      <c r="E19" s="23">
        <v>1450.0</v>
      </c>
      <c r="F19" s="33" t="s">
        <v>85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</hyperlinks>
  <printOptions/>
  <pageMargins bottom="1.0" footer="0.0" header="0.0" left="0.75" right="0.75" top="1.0"/>
  <pageSetup orientation="landscape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6.0"/>
    <col customWidth="1" min="3" max="3" width="14.0"/>
    <col customWidth="1" min="4" max="4" width="22.0"/>
    <col customWidth="1" min="5" max="26" width="8.71"/>
  </cols>
  <sheetData>
    <row r="1" ht="27.75" customHeight="1">
      <c r="A1" s="28" t="s">
        <v>100</v>
      </c>
      <c r="B1" s="18"/>
      <c r="C1" s="18"/>
      <c r="D1" s="19"/>
    </row>
    <row r="2" ht="27.75" customHeight="1"/>
    <row r="3" ht="27.75" customHeight="1">
      <c r="A3" s="34" t="s">
        <v>101</v>
      </c>
      <c r="B3" s="34" t="s">
        <v>102</v>
      </c>
      <c r="C3" s="34" t="s">
        <v>103</v>
      </c>
      <c r="D3" s="34" t="s">
        <v>82</v>
      </c>
    </row>
    <row r="4" ht="27.75" customHeight="1">
      <c r="A4" s="6" t="s">
        <v>104</v>
      </c>
      <c r="B4" s="35">
        <v>99.99</v>
      </c>
      <c r="C4" s="22" t="s">
        <v>105</v>
      </c>
      <c r="D4" s="33" t="s">
        <v>85</v>
      </c>
    </row>
    <row r="5" ht="27.75" customHeight="1">
      <c r="A5" s="6" t="s">
        <v>106</v>
      </c>
      <c r="B5" s="35">
        <v>122.06</v>
      </c>
      <c r="C5" s="22" t="s">
        <v>107</v>
      </c>
      <c r="D5" s="33" t="s">
        <v>85</v>
      </c>
    </row>
    <row r="6" ht="27.75" customHeight="1">
      <c r="A6" s="6" t="s">
        <v>108</v>
      </c>
      <c r="B6" s="35">
        <v>175.02</v>
      </c>
      <c r="C6" s="22" t="s">
        <v>107</v>
      </c>
      <c r="D6" s="33" t="s">
        <v>85</v>
      </c>
    </row>
    <row r="7" ht="27.75" customHeight="1">
      <c r="A7" s="6" t="s">
        <v>109</v>
      </c>
      <c r="B7" s="35">
        <v>169.0</v>
      </c>
      <c r="C7" s="22" t="s">
        <v>107</v>
      </c>
      <c r="D7" s="33" t="s">
        <v>85</v>
      </c>
    </row>
    <row r="8" ht="27.75" customHeight="1">
      <c r="A8" s="6" t="s">
        <v>110</v>
      </c>
      <c r="B8" s="35">
        <v>219.0</v>
      </c>
      <c r="C8" s="22" t="s">
        <v>107</v>
      </c>
      <c r="D8" s="33" t="s">
        <v>85</v>
      </c>
    </row>
    <row r="9" ht="27.75" customHeight="1">
      <c r="A9" s="6" t="s">
        <v>111</v>
      </c>
      <c r="B9" s="35">
        <v>167.95</v>
      </c>
      <c r="C9" s="22" t="s">
        <v>107</v>
      </c>
      <c r="D9" s="33" t="s">
        <v>85</v>
      </c>
    </row>
    <row r="10" ht="27.75" customHeight="1">
      <c r="A10" s="6" t="s">
        <v>112</v>
      </c>
      <c r="B10" s="35">
        <v>119.98</v>
      </c>
      <c r="C10" s="22" t="s">
        <v>107</v>
      </c>
      <c r="D10" s="33" t="s">
        <v>85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</hyperlinks>
  <printOptions/>
  <pageMargins bottom="1.0" footer="0.0" header="0.0" left="0.75" right="0.75" top="1.0"/>
  <pageSetup orientation="landscape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14"/>
    <col customWidth="1" min="4" max="4" width="23.57"/>
    <col customWidth="1" min="5" max="5" width="27.43"/>
    <col customWidth="1" min="6" max="6" width="26.71"/>
    <col customWidth="1" min="7" max="7" width="21.0"/>
    <col customWidth="1" min="8" max="8" width="11.86"/>
    <col customWidth="1" min="9" max="26" width="8.71"/>
  </cols>
  <sheetData>
    <row r="1" ht="14.25" customHeight="1">
      <c r="A1" s="36" t="s">
        <v>113</v>
      </c>
      <c r="B1" s="36" t="s">
        <v>5</v>
      </c>
      <c r="C1" s="36" t="s">
        <v>114</v>
      </c>
      <c r="D1" s="36" t="s">
        <v>115</v>
      </c>
      <c r="E1" s="36" t="s">
        <v>116</v>
      </c>
      <c r="F1" s="36" t="s">
        <v>117</v>
      </c>
      <c r="G1" s="36" t="s">
        <v>118</v>
      </c>
      <c r="H1" s="36" t="s">
        <v>119</v>
      </c>
    </row>
    <row r="2" ht="14.25" customHeight="1">
      <c r="A2" s="36" t="s">
        <v>120</v>
      </c>
      <c r="B2" s="36">
        <v>1097.0</v>
      </c>
      <c r="C2" s="36" t="s">
        <v>121</v>
      </c>
      <c r="D2" s="36" t="s">
        <v>122</v>
      </c>
      <c r="E2" s="36" t="s">
        <v>123</v>
      </c>
      <c r="F2" s="36" t="s">
        <v>124</v>
      </c>
      <c r="G2" s="36" t="s">
        <v>125</v>
      </c>
      <c r="H2" s="36" t="s">
        <v>126</v>
      </c>
    </row>
    <row r="3" ht="14.25" customHeight="1">
      <c r="A3" s="36" t="s">
        <v>127</v>
      </c>
      <c r="B3" s="36">
        <v>2197.0</v>
      </c>
      <c r="C3" s="36" t="s">
        <v>128</v>
      </c>
      <c r="D3" s="36" t="s">
        <v>129</v>
      </c>
      <c r="E3" s="36" t="s">
        <v>130</v>
      </c>
      <c r="F3" s="36" t="s">
        <v>131</v>
      </c>
      <c r="G3" s="36" t="s">
        <v>132</v>
      </c>
      <c r="H3" s="36" t="s">
        <v>133</v>
      </c>
    </row>
    <row r="4" ht="14.25" customHeight="1">
      <c r="A4" s="36" t="s">
        <v>134</v>
      </c>
      <c r="B4" s="36">
        <v>3797.0</v>
      </c>
      <c r="C4" s="36" t="s">
        <v>135</v>
      </c>
      <c r="D4" s="36" t="s">
        <v>136</v>
      </c>
      <c r="E4" s="36" t="s">
        <v>137</v>
      </c>
      <c r="F4" s="36" t="s">
        <v>138</v>
      </c>
      <c r="G4" s="36" t="s">
        <v>139</v>
      </c>
      <c r="H4" s="36" t="s">
        <v>140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36" t="s">
        <v>113</v>
      </c>
      <c r="B1" s="36" t="s">
        <v>141</v>
      </c>
      <c r="C1" s="36" t="s">
        <v>142</v>
      </c>
      <c r="D1" s="36" t="s">
        <v>143</v>
      </c>
      <c r="E1" s="36" t="s">
        <v>144</v>
      </c>
      <c r="F1" s="36" t="s">
        <v>145</v>
      </c>
      <c r="G1" s="36" t="s">
        <v>146</v>
      </c>
      <c r="H1" s="36" t="s">
        <v>147</v>
      </c>
      <c r="I1" s="36" t="s">
        <v>148</v>
      </c>
      <c r="J1" s="36" t="s">
        <v>149</v>
      </c>
    </row>
    <row r="2" ht="14.25" customHeight="1">
      <c r="A2" s="36" t="s">
        <v>120</v>
      </c>
      <c r="B2" s="36">
        <v>1097.0</v>
      </c>
      <c r="C2" s="36" t="s">
        <v>150</v>
      </c>
      <c r="D2" s="36">
        <v>5.0</v>
      </c>
      <c r="E2" s="36">
        <v>430.0</v>
      </c>
      <c r="F2" s="36">
        <v>137.0</v>
      </c>
      <c r="G2" s="36">
        <v>150.0</v>
      </c>
      <c r="H2" s="36">
        <v>717.0</v>
      </c>
      <c r="I2" s="36">
        <v>380.0</v>
      </c>
      <c r="J2" s="36">
        <v>34.6</v>
      </c>
    </row>
    <row r="3" ht="14.25" customHeight="1">
      <c r="A3" s="36" t="s">
        <v>127</v>
      </c>
      <c r="B3" s="36">
        <v>2197.0</v>
      </c>
      <c r="C3" s="36" t="s">
        <v>150</v>
      </c>
      <c r="D3" s="36">
        <v>7.0</v>
      </c>
      <c r="E3" s="36">
        <v>602.0</v>
      </c>
      <c r="F3" s="36">
        <v>399.0</v>
      </c>
      <c r="G3" s="36">
        <v>150.0</v>
      </c>
      <c r="H3" s="36">
        <v>1151.0</v>
      </c>
      <c r="I3" s="36">
        <v>1046.0</v>
      </c>
      <c r="J3" s="36">
        <v>47.6</v>
      </c>
    </row>
    <row r="4" ht="14.25" customHeight="1">
      <c r="A4" s="36" t="s">
        <v>134</v>
      </c>
      <c r="B4" s="36">
        <v>3797.0</v>
      </c>
      <c r="C4" s="36" t="s">
        <v>151</v>
      </c>
      <c r="D4" s="36">
        <v>8.0</v>
      </c>
      <c r="E4" s="36">
        <v>976.0</v>
      </c>
      <c r="F4" s="36">
        <v>661.0</v>
      </c>
      <c r="G4" s="36">
        <v>300.0</v>
      </c>
      <c r="H4" s="36">
        <v>1937.0</v>
      </c>
      <c r="I4" s="36">
        <v>1860.0</v>
      </c>
      <c r="J4" s="36">
        <v>49.0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5" max="5" width="21.0"/>
  </cols>
  <sheetData>
    <row r="1">
      <c r="A1" s="37" t="s">
        <v>152</v>
      </c>
      <c r="B1" s="37" t="s">
        <v>153</v>
      </c>
      <c r="C1" s="37" t="s">
        <v>154</v>
      </c>
      <c r="D1" s="37" t="s">
        <v>155</v>
      </c>
      <c r="E1" s="37" t="s">
        <v>156</v>
      </c>
      <c r="F1" s="37" t="s">
        <v>157</v>
      </c>
    </row>
    <row r="2">
      <c r="A2" s="38" t="s">
        <v>158</v>
      </c>
      <c r="B2" s="39">
        <v>1197.0</v>
      </c>
      <c r="C2" s="37" t="s">
        <v>159</v>
      </c>
      <c r="D2" s="39">
        <v>220.0</v>
      </c>
      <c r="E2" s="40">
        <v>110.0</v>
      </c>
      <c r="F2" s="40">
        <v>110.0</v>
      </c>
      <c r="H2" s="41" t="s">
        <v>160</v>
      </c>
      <c r="I2" s="42">
        <v>46118.0</v>
      </c>
      <c r="J2" s="43">
        <f t="shared" ref="J2:J3" si="1"> D2/4</f>
        <v>55</v>
      </c>
      <c r="K2" s="43">
        <f t="shared" ref="K2:K3" si="2">D2/6</f>
        <v>36.66666667</v>
      </c>
    </row>
    <row r="3">
      <c r="A3" s="44" t="s">
        <v>161</v>
      </c>
      <c r="B3" s="45"/>
      <c r="C3" s="37" t="s">
        <v>162</v>
      </c>
      <c r="D3" s="39">
        <v>130.0</v>
      </c>
      <c r="E3" s="40">
        <v>65.0</v>
      </c>
      <c r="F3" s="40">
        <v>65.0</v>
      </c>
      <c r="J3" s="43">
        <f t="shared" si="1"/>
        <v>32.5</v>
      </c>
      <c r="K3" s="43">
        <f t="shared" si="2"/>
        <v>21.66666667</v>
      </c>
    </row>
    <row r="4">
      <c r="A4" s="45"/>
      <c r="B4" s="45"/>
      <c r="C4" s="45"/>
      <c r="D4" s="45"/>
      <c r="E4" s="45"/>
      <c r="F4" s="45"/>
    </row>
    <row r="5">
      <c r="A5" s="38" t="s">
        <v>163</v>
      </c>
      <c r="B5" s="39">
        <v>2197.0</v>
      </c>
      <c r="C5" s="37" t="s">
        <v>159</v>
      </c>
      <c r="D5" s="39">
        <v>400.0</v>
      </c>
      <c r="E5" s="40">
        <v>200.0</v>
      </c>
      <c r="F5" s="40">
        <v>200.0</v>
      </c>
      <c r="I5" s="42">
        <v>46181.0</v>
      </c>
      <c r="J5" s="43">
        <f t="shared" ref="J5:J6" si="3"> D5/6</f>
        <v>66.66666667</v>
      </c>
      <c r="K5" s="43">
        <f t="shared" ref="K5:K6" si="4">D5/8</f>
        <v>50</v>
      </c>
    </row>
    <row r="6">
      <c r="A6" s="44" t="s">
        <v>164</v>
      </c>
      <c r="B6" s="45"/>
      <c r="C6" s="37" t="s">
        <v>162</v>
      </c>
      <c r="D6" s="39">
        <v>200.0</v>
      </c>
      <c r="E6" s="40">
        <v>100.0</v>
      </c>
      <c r="F6" s="40">
        <v>100.0</v>
      </c>
      <c r="J6" s="43">
        <f t="shared" si="3"/>
        <v>33.33333333</v>
      </c>
      <c r="K6" s="43">
        <f t="shared" si="4"/>
        <v>25</v>
      </c>
    </row>
    <row r="7">
      <c r="A7" s="45"/>
      <c r="B7" s="45"/>
      <c r="C7" s="45"/>
      <c r="D7" s="45"/>
      <c r="E7" s="45"/>
      <c r="F7" s="45"/>
    </row>
    <row r="8">
      <c r="A8" s="38" t="s">
        <v>165</v>
      </c>
      <c r="B8" s="39">
        <v>3697.0</v>
      </c>
      <c r="C8" s="37" t="s">
        <v>159</v>
      </c>
      <c r="D8" s="39">
        <v>600.0</v>
      </c>
      <c r="E8" s="40">
        <v>300.0</v>
      </c>
      <c r="F8" s="40">
        <v>300.0</v>
      </c>
      <c r="I8" s="42">
        <v>46244.0</v>
      </c>
      <c r="J8" s="43">
        <f t="shared" ref="J8:J9" si="5"> D8/8</f>
        <v>75</v>
      </c>
      <c r="K8" s="43">
        <f t="shared" ref="K8:K9" si="6">D8/10</f>
        <v>60</v>
      </c>
    </row>
    <row r="9">
      <c r="A9" s="44" t="s">
        <v>166</v>
      </c>
      <c r="B9" s="45"/>
      <c r="C9" s="37" t="s">
        <v>162</v>
      </c>
      <c r="D9" s="39">
        <v>275.0</v>
      </c>
      <c r="E9" s="40">
        <v>137.5</v>
      </c>
      <c r="F9" s="40">
        <v>137.5</v>
      </c>
      <c r="J9" s="43">
        <f t="shared" si="5"/>
        <v>34.375</v>
      </c>
      <c r="K9" s="43">
        <f t="shared" si="6"/>
        <v>27.5</v>
      </c>
    </row>
    <row r="13">
      <c r="J13" s="43">
        <f> AVERAGE(J2:K6)</f>
        <v>40.10416667</v>
      </c>
    </row>
  </sheetData>
  <drawing r:id="rId1"/>
</worksheet>
</file>